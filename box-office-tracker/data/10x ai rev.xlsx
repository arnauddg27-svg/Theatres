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uddurand/Documents/Code Projects/Theatre 2.0/box-office-tracker/data/"/>
    </mc:Choice>
  </mc:AlternateContent>
  <xr:revisionPtr revIDLastSave="0" documentId="8_{9FD46CF5-0DC0-D84A-A5FD-09E905AEB542}" xr6:coauthVersionLast="47" xr6:coauthVersionMax="47" xr10:uidLastSave="{00000000-0000-0000-0000-000000000000}"/>
  <bookViews>
    <workbookView xWindow="3080" yWindow="2160" windowWidth="28040" windowHeight="17180" xr2:uid="{528CE95F-5B5A-7244-81EF-03B9B36047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9" i="1"/>
  <c r="H9" i="1"/>
  <c r="I9" i="1"/>
  <c r="F10" i="1"/>
  <c r="G10" i="1"/>
  <c r="H10" i="1"/>
  <c r="I10" i="1"/>
  <c r="E10" i="1"/>
  <c r="F7" i="1"/>
  <c r="G7" i="1"/>
  <c r="H7" i="1"/>
  <c r="I7" i="1"/>
  <c r="E7" i="1"/>
  <c r="E9" i="1" s="1"/>
  <c r="E11" i="1" l="1"/>
  <c r="F11" i="1" l="1"/>
  <c r="G11" i="1" l="1"/>
  <c r="I11" i="1" l="1"/>
  <c r="H11" i="1"/>
</calcChain>
</file>

<file path=xl/sharedStrings.xml><?xml version="1.0" encoding="utf-8"?>
<sst xmlns="http://schemas.openxmlformats.org/spreadsheetml/2006/main" count="7" uniqueCount="7">
  <si>
    <t>clients per</t>
  </si>
  <si>
    <t>consultants</t>
  </si>
  <si>
    <t>retainers</t>
  </si>
  <si>
    <t>retainer cost</t>
  </si>
  <si>
    <t>Rev per client</t>
  </si>
  <si>
    <t>total clients</t>
  </si>
  <si>
    <t xml:space="preserve">Rev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</si>
</sst>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08DB-1DF7-B548-9C9B-A664E488D42A}">
  <dimension ref="D5:I15"/>
  <sheetViews>
    <sheetView tabSelected="1" workbookViewId="0">
      <selection activeCell="K4" sqref="K4"/>
    </sheetView>
  </sheetViews>
  <sheetFormatPr baseColWidth="10" defaultRowHeight="16" x14ac:dyDescent="0.2"/>
  <cols>
    <col min="3" max="3" width="14.5" bestFit="1" customWidth="1"/>
    <col min="4" max="4" width="12.1640625" bestFit="1" customWidth="1"/>
    <col min="5" max="6" width="14" bestFit="1" customWidth="1"/>
    <col min="7" max="9" width="15" bestFit="1" customWidth="1"/>
  </cols>
  <sheetData>
    <row r="5" spans="4:9" x14ac:dyDescent="0.2">
      <c r="D5" t="s">
        <v>0</v>
      </c>
      <c r="E5">
        <v>8</v>
      </c>
      <c r="F5">
        <v>8</v>
      </c>
      <c r="G5">
        <v>8</v>
      </c>
      <c r="H5">
        <v>8</v>
      </c>
      <c r="I5">
        <v>8</v>
      </c>
    </row>
    <row r="6" spans="4:9" x14ac:dyDescent="0.2">
      <c r="D6" t="s">
        <v>1</v>
      </c>
      <c r="E6">
        <v>2</v>
      </c>
      <c r="F6">
        <v>6</v>
      </c>
      <c r="G6">
        <v>12</v>
      </c>
      <c r="H6">
        <v>20</v>
      </c>
      <c r="I6">
        <v>25</v>
      </c>
    </row>
    <row r="7" spans="4:9" x14ac:dyDescent="0.2">
      <c r="D7" t="s">
        <v>5</v>
      </c>
      <c r="E7">
        <f>E6*E5</f>
        <v>16</v>
      </c>
      <c r="F7">
        <f t="shared" ref="F7:I7" si="0">F6*F5</f>
        <v>48</v>
      </c>
      <c r="G7">
        <f t="shared" si="0"/>
        <v>96</v>
      </c>
      <c r="H7">
        <f t="shared" si="0"/>
        <v>160</v>
      </c>
      <c r="I7">
        <f t="shared" si="0"/>
        <v>200</v>
      </c>
    </row>
    <row r="8" spans="4:9" x14ac:dyDescent="0.2">
      <c r="D8" t="s">
        <v>4</v>
      </c>
      <c r="E8">
        <v>75000</v>
      </c>
      <c r="F8">
        <v>75000</v>
      </c>
      <c r="G8">
        <v>75000</v>
      </c>
      <c r="H8">
        <v>75000</v>
      </c>
      <c r="I8">
        <v>75000</v>
      </c>
    </row>
    <row r="9" spans="4:9" x14ac:dyDescent="0.2">
      <c r="D9" t="s">
        <v>2</v>
      </c>
      <c r="E9">
        <f>E7/2</f>
        <v>8</v>
      </c>
      <c r="F9">
        <f t="shared" ref="F9:I9" si="1">F7/2</f>
        <v>24</v>
      </c>
      <c r="G9">
        <f t="shared" si="1"/>
        <v>48</v>
      </c>
      <c r="H9">
        <f t="shared" si="1"/>
        <v>80</v>
      </c>
      <c r="I9">
        <f t="shared" si="1"/>
        <v>100</v>
      </c>
    </row>
    <row r="10" spans="4:9" x14ac:dyDescent="0.2">
      <c r="D10" t="s">
        <v>3</v>
      </c>
      <c r="E10">
        <f>5000*12</f>
        <v>60000</v>
      </c>
      <c r="F10">
        <f t="shared" ref="F10:I10" si="2">5000*12</f>
        <v>60000</v>
      </c>
      <c r="G10">
        <f t="shared" si="2"/>
        <v>60000</v>
      </c>
      <c r="H10">
        <f t="shared" si="2"/>
        <v>60000</v>
      </c>
      <c r="I10">
        <f t="shared" si="2"/>
        <v>60000</v>
      </c>
    </row>
    <row r="11" spans="4:9" x14ac:dyDescent="0.2">
      <c r="D11" t="s">
        <v>6</v>
      </c>
      <c r="E11" s="1">
        <f>E8*E7+E9*E10</f>
        <v>1680000</v>
      </c>
      <c r="F11" s="1">
        <f t="shared" ref="F11:I11" si="3">F8*F7+F9*F10</f>
        <v>5040000</v>
      </c>
      <c r="G11" s="1">
        <f t="shared" si="3"/>
        <v>10080000</v>
      </c>
      <c r="H11" s="1">
        <f t="shared" si="3"/>
        <v>16800000</v>
      </c>
      <c r="I11" s="1">
        <f>I8*I7+I9*I10</f>
        <v>21000000</v>
      </c>
    </row>
    <row r="15" spans="4:9" x14ac:dyDescent="0.2">
      <c r="I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Durand</dc:creator>
  <cp:lastModifiedBy>Arnaud Durand</cp:lastModifiedBy>
  <dcterms:created xsi:type="dcterms:W3CDTF">2026-04-06T15:13:29Z</dcterms:created>
  <dcterms:modified xsi:type="dcterms:W3CDTF">2026-04-06T15:19:21Z</dcterms:modified>
</cp:coreProperties>
</file>